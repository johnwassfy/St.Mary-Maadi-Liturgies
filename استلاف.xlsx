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5dmt Shashat\Codes and Files\"/>
    </mc:Choice>
  </mc:AlternateContent>
  <xr:revisionPtr revIDLastSave="0" documentId="13_ncr:1_{321DA75D-1096-4425-B8BA-63010A98FE9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2" l="1"/>
  <c r="B50" i="2"/>
  <c r="B10" i="2"/>
  <c r="B8" i="2"/>
  <c r="B2" i="2"/>
  <c r="B3" i="2"/>
  <c r="B4" i="2"/>
  <c r="B5" i="2"/>
  <c r="B6" i="2"/>
  <c r="B7" i="2"/>
  <c r="B9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A72" i="2"/>
  <c r="B72" i="2" l="1"/>
</calcChain>
</file>

<file path=xl/sharedStrings.xml><?xml version="1.0" encoding="utf-8"?>
<sst xmlns="http://schemas.openxmlformats.org/spreadsheetml/2006/main" count="439" uniqueCount="370">
  <si>
    <t>1 توت</t>
  </si>
  <si>
    <t>1 بابة</t>
  </si>
  <si>
    <t>30 طوبة</t>
  </si>
  <si>
    <t>1 هاتور</t>
  </si>
  <si>
    <t>3 أبيب</t>
  </si>
  <si>
    <t>1 كيهك</t>
  </si>
  <si>
    <t>17 هاتور</t>
  </si>
  <si>
    <t>1 طوبة</t>
  </si>
  <si>
    <t>1 امشير</t>
  </si>
  <si>
    <t>9 هاتور</t>
  </si>
  <si>
    <t>1 برمهات</t>
  </si>
  <si>
    <t>22 هاتور</t>
  </si>
  <si>
    <t>1 برمودة</t>
  </si>
  <si>
    <t>20 بشنس</t>
  </si>
  <si>
    <t>1 بشنس</t>
  </si>
  <si>
    <t>1 بؤونة</t>
  </si>
  <si>
    <t>1 أبيب</t>
  </si>
  <si>
    <t>1 مسرى</t>
  </si>
  <si>
    <t>15 هاتور</t>
  </si>
  <si>
    <t>1 نسئ</t>
  </si>
  <si>
    <t>2 توت</t>
  </si>
  <si>
    <t>2 بابة</t>
  </si>
  <si>
    <t>2 هاتور</t>
  </si>
  <si>
    <t>29 هاتور</t>
  </si>
  <si>
    <t>2 كيهك</t>
  </si>
  <si>
    <t>16 بؤونة</t>
  </si>
  <si>
    <t>2 طوبة</t>
  </si>
  <si>
    <t>2 امشير</t>
  </si>
  <si>
    <t>2 برمهات</t>
  </si>
  <si>
    <t>28 هاتور</t>
  </si>
  <si>
    <t>2 برمودة</t>
  </si>
  <si>
    <t>20 أبيب</t>
  </si>
  <si>
    <t>2 بشنس</t>
  </si>
  <si>
    <t>3 مسرى</t>
  </si>
  <si>
    <t>2 بؤونة</t>
  </si>
  <si>
    <t>2 أبيب</t>
  </si>
  <si>
    <t>30 برمودة</t>
  </si>
  <si>
    <t>2 مسرى</t>
  </si>
  <si>
    <t>2 نسئ</t>
  </si>
  <si>
    <t>3 توت</t>
  </si>
  <si>
    <t>3 بابة</t>
  </si>
  <si>
    <t>3 هاتور</t>
  </si>
  <si>
    <t>3 كيهك</t>
  </si>
  <si>
    <t>3  طوبة</t>
  </si>
  <si>
    <t>3 طوبة</t>
  </si>
  <si>
    <t>3 امشير</t>
  </si>
  <si>
    <t>3 برمهات</t>
  </si>
  <si>
    <t>3 برمودة</t>
  </si>
  <si>
    <t>3 بشنس</t>
  </si>
  <si>
    <t>3 بؤونة</t>
  </si>
  <si>
    <t>3 نسئ</t>
  </si>
  <si>
    <t>4 توت</t>
  </si>
  <si>
    <t>8 توت</t>
  </si>
  <si>
    <t>4 بابة</t>
  </si>
  <si>
    <t>13 برمهات</t>
  </si>
  <si>
    <t>4 هاتور</t>
  </si>
  <si>
    <t>4 كيهك</t>
  </si>
  <si>
    <t>5 أبيب</t>
  </si>
  <si>
    <t>4 طوبة</t>
  </si>
  <si>
    <t>4 امشير</t>
  </si>
  <si>
    <t>22 بابة</t>
  </si>
  <si>
    <t>4 برمهات</t>
  </si>
  <si>
    <t>4 برمودة</t>
  </si>
  <si>
    <t>4 بشنس</t>
  </si>
  <si>
    <t>4 بؤونة</t>
  </si>
  <si>
    <t>4 أبيب</t>
  </si>
  <si>
    <t>4 مسرى</t>
  </si>
  <si>
    <t>4 نسئ</t>
  </si>
  <si>
    <t>5 توت</t>
  </si>
  <si>
    <t>5 بابة</t>
  </si>
  <si>
    <t>5 هاتور</t>
  </si>
  <si>
    <t>27 هاتور</t>
  </si>
  <si>
    <t>5 كيهك</t>
  </si>
  <si>
    <t>5 طوبة</t>
  </si>
  <si>
    <t>25 هاتور</t>
  </si>
  <si>
    <t>5 امشير</t>
  </si>
  <si>
    <t>27 بابة</t>
  </si>
  <si>
    <t>5 برمهات</t>
  </si>
  <si>
    <t>5 برمودة</t>
  </si>
  <si>
    <t>5 بشنس</t>
  </si>
  <si>
    <t>5 بؤونة</t>
  </si>
  <si>
    <t>22 طوبة</t>
  </si>
  <si>
    <t>5 مسرى</t>
  </si>
  <si>
    <t>26 طوبة</t>
  </si>
  <si>
    <t>5 نسئ</t>
  </si>
  <si>
    <t>6 توت</t>
  </si>
  <si>
    <t>6 بابة</t>
  </si>
  <si>
    <t>6 هاتور</t>
  </si>
  <si>
    <t>6 كيهك</t>
  </si>
  <si>
    <t>6 طوبة</t>
  </si>
  <si>
    <t>6 امشير</t>
  </si>
  <si>
    <t>6 برمهات</t>
  </si>
  <si>
    <t>6 برمودة</t>
  </si>
  <si>
    <t>6 بشنس</t>
  </si>
  <si>
    <t>23 برمودة</t>
  </si>
  <si>
    <t>6 بؤونة</t>
  </si>
  <si>
    <t>6 أبيب</t>
  </si>
  <si>
    <t>6 مسرى</t>
  </si>
  <si>
    <t>6 نسئ</t>
  </si>
  <si>
    <t>7 توت</t>
  </si>
  <si>
    <t>7 بابة</t>
  </si>
  <si>
    <t>7 هاتور</t>
  </si>
  <si>
    <t>7 كيهك</t>
  </si>
  <si>
    <t>7 طوبة</t>
  </si>
  <si>
    <t>7 امشير</t>
  </si>
  <si>
    <t>7 برمهات</t>
  </si>
  <si>
    <t>7 برمودة</t>
  </si>
  <si>
    <t>7 بشنس</t>
  </si>
  <si>
    <t>7 بؤونة</t>
  </si>
  <si>
    <t>7 أبيب</t>
  </si>
  <si>
    <t>7 مسرى</t>
  </si>
  <si>
    <t>8 بابة</t>
  </si>
  <si>
    <t>8 هاتور</t>
  </si>
  <si>
    <t>8 كيهك</t>
  </si>
  <si>
    <t>8 طوبة</t>
  </si>
  <si>
    <t>8 امشير</t>
  </si>
  <si>
    <t>8 برمهات</t>
  </si>
  <si>
    <t>8 برمودة</t>
  </si>
  <si>
    <t>8 بشنس</t>
  </si>
  <si>
    <t>8 بؤونة</t>
  </si>
  <si>
    <t>24 بشنس</t>
  </si>
  <si>
    <t>8 أبيب</t>
  </si>
  <si>
    <t>8 مسرى</t>
  </si>
  <si>
    <t>10 بشنس</t>
  </si>
  <si>
    <t>9 توت</t>
  </si>
  <si>
    <t>9 بابة</t>
  </si>
  <si>
    <t>9 كيهك</t>
  </si>
  <si>
    <t>9 طوبة</t>
  </si>
  <si>
    <t>9 امشير</t>
  </si>
  <si>
    <t>9 برمهات</t>
  </si>
  <si>
    <t>9 برمودة</t>
  </si>
  <si>
    <t>9 بشنس</t>
  </si>
  <si>
    <t>16 توت</t>
  </si>
  <si>
    <t>9 بؤونة</t>
  </si>
  <si>
    <t>9 أبيب</t>
  </si>
  <si>
    <t>9 مسرى</t>
  </si>
  <si>
    <t>10 توت</t>
  </si>
  <si>
    <t>10 بابة</t>
  </si>
  <si>
    <t>10 هاتور</t>
  </si>
  <si>
    <t>10 كيهك</t>
  </si>
  <si>
    <t>10 طوبة</t>
  </si>
  <si>
    <t>10 امشير</t>
  </si>
  <si>
    <t>10 برمهات</t>
  </si>
  <si>
    <t>17 توت</t>
  </si>
  <si>
    <t>10 برمودة</t>
  </si>
  <si>
    <t>10 بؤونة</t>
  </si>
  <si>
    <t>10 أبيب</t>
  </si>
  <si>
    <t>10 مسرى</t>
  </si>
  <si>
    <t>11 توت</t>
  </si>
  <si>
    <t>27 برمودة</t>
  </si>
  <si>
    <t>11 بابة</t>
  </si>
  <si>
    <t>11 هاتور</t>
  </si>
  <si>
    <t>26 توت</t>
  </si>
  <si>
    <t>11 كيهك</t>
  </si>
  <si>
    <t>11 طوبة</t>
  </si>
  <si>
    <t>11 امشير</t>
  </si>
  <si>
    <t>11 برمهات</t>
  </si>
  <si>
    <t>21 توت</t>
  </si>
  <si>
    <t>11 برمودة</t>
  </si>
  <si>
    <t>11 بشنس</t>
  </si>
  <si>
    <t>11 بؤونة</t>
  </si>
  <si>
    <t>11 أبيب</t>
  </si>
  <si>
    <t>11 مسرى</t>
  </si>
  <si>
    <t>12 توت</t>
  </si>
  <si>
    <t>12 بابة</t>
  </si>
  <si>
    <t>12 هاتور</t>
  </si>
  <si>
    <t>12 كيهك</t>
  </si>
  <si>
    <t>12 طوبة</t>
  </si>
  <si>
    <t>12 امشير</t>
  </si>
  <si>
    <t>12 برمهات</t>
  </si>
  <si>
    <t>12 برمودة</t>
  </si>
  <si>
    <t>12 بشنس</t>
  </si>
  <si>
    <t>12 بؤونة</t>
  </si>
  <si>
    <t>12 أبيب</t>
  </si>
  <si>
    <t>12 مسرى</t>
  </si>
  <si>
    <t>13 توت</t>
  </si>
  <si>
    <t>13 بابة</t>
  </si>
  <si>
    <t>13 هاتور</t>
  </si>
  <si>
    <t>13 كيهك</t>
  </si>
  <si>
    <t>13 طوبة</t>
  </si>
  <si>
    <t>13 امشير</t>
  </si>
  <si>
    <t>13 برمودة</t>
  </si>
  <si>
    <t>13 بشنس</t>
  </si>
  <si>
    <t>13 بؤونة</t>
  </si>
  <si>
    <t>13 أبيب</t>
  </si>
  <si>
    <t>13 مسرى</t>
  </si>
  <si>
    <t>14 توت</t>
  </si>
  <si>
    <t>14 بابة</t>
  </si>
  <si>
    <t>14 هاتور</t>
  </si>
  <si>
    <t>14 كيهك</t>
  </si>
  <si>
    <t>14 طوبة</t>
  </si>
  <si>
    <t>14 امشير</t>
  </si>
  <si>
    <t>14 برمهات</t>
  </si>
  <si>
    <t>14 برمودة</t>
  </si>
  <si>
    <t>14 بشنس</t>
  </si>
  <si>
    <t>14 بؤونة</t>
  </si>
  <si>
    <t>14 أبيب</t>
  </si>
  <si>
    <t>14 مسرى</t>
  </si>
  <si>
    <t>15 توت</t>
  </si>
  <si>
    <t>15 بابة</t>
  </si>
  <si>
    <t>15 كيهك</t>
  </si>
  <si>
    <t>15 طوبة</t>
  </si>
  <si>
    <t>15 امشير</t>
  </si>
  <si>
    <t>15 برمهات</t>
  </si>
  <si>
    <t>15 برمودة</t>
  </si>
  <si>
    <t>15 بشنس</t>
  </si>
  <si>
    <t>15 بؤونة</t>
  </si>
  <si>
    <t>15 أبيب</t>
  </si>
  <si>
    <t>15 مسرى</t>
  </si>
  <si>
    <t>16 بابة</t>
  </si>
  <si>
    <t>16 هاتور</t>
  </si>
  <si>
    <t>16 كيهك</t>
  </si>
  <si>
    <t>16 طوبة</t>
  </si>
  <si>
    <t>16 امشير</t>
  </si>
  <si>
    <t>16 برمهات</t>
  </si>
  <si>
    <t>16 برمودة</t>
  </si>
  <si>
    <t>16 بشنس</t>
  </si>
  <si>
    <t>16 أبيب</t>
  </si>
  <si>
    <t>16 مسرى</t>
  </si>
  <si>
    <t>17 بابة</t>
  </si>
  <si>
    <t>17 كيهك</t>
  </si>
  <si>
    <t>17 طوبة</t>
  </si>
  <si>
    <t>17 امشير</t>
  </si>
  <si>
    <t>17 برمهات</t>
  </si>
  <si>
    <t>17 برمودة</t>
  </si>
  <si>
    <t>17 بشنس</t>
  </si>
  <si>
    <t>17 بؤونة</t>
  </si>
  <si>
    <t>17 أبيب</t>
  </si>
  <si>
    <t>17 مسرى</t>
  </si>
  <si>
    <t>18 توت</t>
  </si>
  <si>
    <t>18 بابة</t>
  </si>
  <si>
    <t>18 هاتور</t>
  </si>
  <si>
    <t>18 كيهك</t>
  </si>
  <si>
    <t>18 طوبة</t>
  </si>
  <si>
    <t>18 امشير</t>
  </si>
  <si>
    <t>18 برمهات</t>
  </si>
  <si>
    <t>18 برمودة</t>
  </si>
  <si>
    <t>18 بشنس</t>
  </si>
  <si>
    <t>18 بؤونة</t>
  </si>
  <si>
    <t>18 أبيب</t>
  </si>
  <si>
    <t>18 مسرى</t>
  </si>
  <si>
    <t>19 توت</t>
  </si>
  <si>
    <t>19 بابة</t>
  </si>
  <si>
    <t>19 هاتور</t>
  </si>
  <si>
    <t>19 كيهك</t>
  </si>
  <si>
    <t>19 طوبة</t>
  </si>
  <si>
    <t>19 امشير</t>
  </si>
  <si>
    <t>19 برمهات</t>
  </si>
  <si>
    <t>19 برمودة</t>
  </si>
  <si>
    <t>19 بشنس</t>
  </si>
  <si>
    <t>19 بؤونة</t>
  </si>
  <si>
    <t>19 أبيب</t>
  </si>
  <si>
    <t>19 مسرى</t>
  </si>
  <si>
    <t>20 توت</t>
  </si>
  <si>
    <t>20 بابة</t>
  </si>
  <si>
    <t>20 هاتور</t>
  </si>
  <si>
    <t>20 كيهك</t>
  </si>
  <si>
    <t>20 طوبة</t>
  </si>
  <si>
    <t>20 امشير</t>
  </si>
  <si>
    <t>20 برمهات</t>
  </si>
  <si>
    <t>20 برمودة</t>
  </si>
  <si>
    <t>20 بؤونة</t>
  </si>
  <si>
    <t>20 مسرى</t>
  </si>
  <si>
    <t>21 بابة</t>
  </si>
  <si>
    <t>21 هاتور</t>
  </si>
  <si>
    <t>21 كيهك</t>
  </si>
  <si>
    <t>21 طوبة</t>
  </si>
  <si>
    <t>21 امشير</t>
  </si>
  <si>
    <t>21 برمهات</t>
  </si>
  <si>
    <t>21 برمودة</t>
  </si>
  <si>
    <t>21 بشنس</t>
  </si>
  <si>
    <t>21 بؤونة</t>
  </si>
  <si>
    <t>21 أبيب</t>
  </si>
  <si>
    <t>21 مسرى</t>
  </si>
  <si>
    <t>22 توت</t>
  </si>
  <si>
    <t>22 كيهك</t>
  </si>
  <si>
    <t>22 امشير</t>
  </si>
  <si>
    <t>22 برمهات</t>
  </si>
  <si>
    <t>22 برمودة</t>
  </si>
  <si>
    <t>22 بشنس</t>
  </si>
  <si>
    <t>22 بؤونة</t>
  </si>
  <si>
    <t>22 أبيب</t>
  </si>
  <si>
    <t>22 مسرى</t>
  </si>
  <si>
    <t>23 توت</t>
  </si>
  <si>
    <t>23 بابة</t>
  </si>
  <si>
    <t>23 هاتور</t>
  </si>
  <si>
    <t>23 كيهك</t>
  </si>
  <si>
    <t>23 طوبة</t>
  </si>
  <si>
    <t>23 امشير</t>
  </si>
  <si>
    <t>23 برمهات</t>
  </si>
  <si>
    <t>23 بشنس</t>
  </si>
  <si>
    <t>23 بؤونة</t>
  </si>
  <si>
    <t>23 أبيب</t>
  </si>
  <si>
    <t>23 مسرى</t>
  </si>
  <si>
    <t>24 توت</t>
  </si>
  <si>
    <t>24 بابة</t>
  </si>
  <si>
    <t>24 هاتور</t>
  </si>
  <si>
    <t>24 كيهك</t>
  </si>
  <si>
    <t>24 طوبة</t>
  </si>
  <si>
    <t>24 امشير</t>
  </si>
  <si>
    <t>24 برمهات</t>
  </si>
  <si>
    <t>24 برمودة</t>
  </si>
  <si>
    <t>24 بؤونة</t>
  </si>
  <si>
    <t>24 أبيب</t>
  </si>
  <si>
    <t>24 مسرى</t>
  </si>
  <si>
    <t>25 توت</t>
  </si>
  <si>
    <t>25 بابة</t>
  </si>
  <si>
    <t>25 كيهك</t>
  </si>
  <si>
    <t>25 طوبة</t>
  </si>
  <si>
    <t>25 امشير</t>
  </si>
  <si>
    <t>25 برمهات</t>
  </si>
  <si>
    <t>25 برمودة</t>
  </si>
  <si>
    <t>25 بشنس</t>
  </si>
  <si>
    <t>25 بؤونة</t>
  </si>
  <si>
    <t>25 أبيب</t>
  </si>
  <si>
    <t>25 مسرى</t>
  </si>
  <si>
    <t>26 بابة</t>
  </si>
  <si>
    <t>26 هاتور</t>
  </si>
  <si>
    <t>26 كيهك</t>
  </si>
  <si>
    <t>26 امشير</t>
  </si>
  <si>
    <t>26 برمهات</t>
  </si>
  <si>
    <t>26 برمودة</t>
  </si>
  <si>
    <t>26 بشنس</t>
  </si>
  <si>
    <t>26 بؤونة</t>
  </si>
  <si>
    <t>26 أبيب</t>
  </si>
  <si>
    <t>26 مسرى</t>
  </si>
  <si>
    <t>27 توت</t>
  </si>
  <si>
    <t>27 كيهك</t>
  </si>
  <si>
    <t>27 طوبة</t>
  </si>
  <si>
    <t>27 امشير</t>
  </si>
  <si>
    <t>27 برمهات</t>
  </si>
  <si>
    <t>27 بشنس</t>
  </si>
  <si>
    <t>27 بؤونة</t>
  </si>
  <si>
    <t>27 أبيب</t>
  </si>
  <si>
    <t>27 مسرى</t>
  </si>
  <si>
    <t>28 توت</t>
  </si>
  <si>
    <t>28 بابة</t>
  </si>
  <si>
    <t>28 كيهك</t>
  </si>
  <si>
    <t>28 طوبة</t>
  </si>
  <si>
    <t>28 امشير</t>
  </si>
  <si>
    <t>28 برمهات</t>
  </si>
  <si>
    <t>28 برمودة</t>
  </si>
  <si>
    <t>28 بشنس</t>
  </si>
  <si>
    <t>28 بؤونة</t>
  </si>
  <si>
    <t>28 أبيب</t>
  </si>
  <si>
    <t>28 مسرى</t>
  </si>
  <si>
    <t>29 توت</t>
  </si>
  <si>
    <t>29 بابة</t>
  </si>
  <si>
    <t>29 كيهك</t>
  </si>
  <si>
    <t>29 طوبة</t>
  </si>
  <si>
    <t>29 امشير</t>
  </si>
  <si>
    <t>29 برمهات</t>
  </si>
  <si>
    <t>29 برمودة</t>
  </si>
  <si>
    <t>29 بشنس</t>
  </si>
  <si>
    <t>29 بؤونة</t>
  </si>
  <si>
    <t>29 أبيب</t>
  </si>
  <si>
    <t>29 مسرى</t>
  </si>
  <si>
    <t>30 توت</t>
  </si>
  <si>
    <t>30 بابة</t>
  </si>
  <si>
    <t>30 هاتور</t>
  </si>
  <si>
    <t>30 كيهك</t>
  </si>
  <si>
    <t>30 امشير</t>
  </si>
  <si>
    <t>30 برمهات</t>
  </si>
  <si>
    <t>30 بشنس</t>
  </si>
  <si>
    <t>30 بؤونة</t>
  </si>
  <si>
    <t>30 أبيب</t>
  </si>
  <si>
    <t>30 مسرى</t>
  </si>
  <si>
    <t xml:space="preserve"> قراءات يوم:</t>
  </si>
  <si>
    <t>عدد التكرارات</t>
  </si>
  <si>
    <t xml:space="preserve">الايام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</si>
</sst>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readingOrder="2"/>
    </xf>
    <xf numFmtId="0" fontId="3" fillId="0" borderId="0" xfId="0" applyFont="1" applyAlignment="1">
      <alignment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readingOrder="2"/>
    </xf>
    <xf numFmtId="0" fontId="3" fillId="0" borderId="1" xfId="0" applyFont="1" applyBorder="1" applyAlignment="1">
      <alignment readingOrder="2"/>
    </xf>
    <xf numFmtId="0" fontId="3" fillId="0" borderId="1" xfId="0" applyFont="1" applyBorder="1" applyAlignment="1">
      <alignment horizontal="right" readingOrder="2"/>
    </xf>
    <xf numFmtId="0" fontId="3" fillId="5" borderId="1" xfId="0" applyFont="1" applyFill="1" applyBorder="1" applyAlignment="1">
      <alignment horizontal="center" readingOrder="2"/>
    </xf>
    <xf numFmtId="0" fontId="3" fillId="5" borderId="1" xfId="0" applyFont="1" applyFill="1" applyBorder="1" applyAlignment="1">
      <alignment readingOrder="2"/>
    </xf>
    <xf numFmtId="0" fontId="0" fillId="0" borderId="1" xfId="0" applyFont="1" applyBorder="1"/>
    <xf numFmtId="0" fontId="6" fillId="6" borderId="1" xfId="0" applyFont="1" applyFill="1" applyBorder="1" applyAlignment="1">
      <alignment horizontal="center" readingOrder="2"/>
    </xf>
    <xf numFmtId="0" fontId="4" fillId="0" borderId="0" xfId="0" applyFont="1"/>
    <xf numFmtId="0" fontId="5" fillId="3" borderId="1" xfId="0" applyFont="1" applyFill="1" applyBorder="1" applyAlignment="1">
      <alignment horizontal="center" readingOrder="2"/>
    </xf>
    <xf numFmtId="0" fontId="5" fillId="2" borderId="1" xfId="0" applyFont="1" applyFill="1" applyBorder="1" applyAlignment="1">
      <alignment horizontal="center" readingOrder="2"/>
    </xf>
    <xf numFmtId="0" fontId="3" fillId="7" borderId="1" xfId="0" applyFont="1" applyFill="1" applyBorder="1" applyAlignment="1">
      <alignment readingOrder="2"/>
    </xf>
    <xf numFmtId="0" fontId="3" fillId="5" borderId="1" xfId="0" applyFont="1" applyFill="1" applyBorder="1" applyAlignment="1">
      <alignment horizontal="right" readingOrder="2"/>
    </xf>
    <xf numFmtId="0" fontId="0" fillId="0" borderId="1" xfId="0" applyBorder="1"/>
    <xf numFmtId="0" fontId="2" fillId="4" borderId="2" xfId="0" applyFont="1" applyFill="1" applyBorder="1" applyAlignment="1">
      <alignment horizontal="center" readingOrder="2"/>
    </xf>
    <xf numFmtId="0" fontId="2" fillId="4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6600"/>
      <color rgb="FFFE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80F2-353F-4AA4-9C21-601EB0CC7FFD}">
  <sheetPr>
    <pageSetUpPr fitToPage="1"/>
  </sheetPr>
  <dimension ref="A1:AC73"/>
  <sheetViews>
    <sheetView rightToLeft="1" tabSelected="1" zoomScale="37" zoomScaleNormal="55" workbookViewId="0">
      <selection activeCell="O13" sqref="O13"/>
    </sheetView>
  </sheetViews>
  <sheetFormatPr defaultRowHeight="15" x14ac:dyDescent="0.25"/>
  <cols>
    <col min="1" max="1" width="31.85546875" bestFit="1" customWidth="1"/>
    <col min="2" max="2" width="35.28515625" style="11" bestFit="1" customWidth="1"/>
    <col min="3" max="8" width="15.85546875" bestFit="1" customWidth="1"/>
    <col min="9" max="9" width="14.85546875" bestFit="1" customWidth="1"/>
    <col min="10" max="15" width="15.85546875" bestFit="1" customWidth="1"/>
    <col min="16" max="16" width="14.140625" bestFit="1" customWidth="1"/>
    <col min="17" max="17" width="14.85546875" bestFit="1" customWidth="1"/>
    <col min="18" max="18" width="15.85546875" bestFit="1" customWidth="1"/>
    <col min="19" max="22" width="14.85546875" bestFit="1" customWidth="1"/>
    <col min="23" max="23" width="12.140625" bestFit="1" customWidth="1"/>
    <col min="24" max="24" width="13.28515625" bestFit="1" customWidth="1"/>
    <col min="25" max="28" width="14.140625" bestFit="1" customWidth="1"/>
    <col min="29" max="29" width="9.85546875" bestFit="1" customWidth="1"/>
  </cols>
  <sheetData>
    <row r="1" spans="1:29" ht="46.5" x14ac:dyDescent="0.7">
      <c r="A1" s="3" t="s">
        <v>367</v>
      </c>
      <c r="B1" s="4" t="s">
        <v>368</v>
      </c>
      <c r="C1" s="17" t="s">
        <v>369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</row>
    <row r="2" spans="1:29" ht="26.25" x14ac:dyDescent="0.4">
      <c r="A2" s="7" t="s">
        <v>29</v>
      </c>
      <c r="B2" s="10">
        <f>COUNTA(C2:AC2)</f>
        <v>27</v>
      </c>
      <c r="C2" s="8" t="s">
        <v>124</v>
      </c>
      <c r="D2" s="8" t="s">
        <v>284</v>
      </c>
      <c r="E2" s="8" t="s">
        <v>55</v>
      </c>
      <c r="F2" s="8" t="s">
        <v>188</v>
      </c>
      <c r="G2" s="8" t="s">
        <v>285</v>
      </c>
      <c r="H2" s="14" t="s">
        <v>29</v>
      </c>
      <c r="I2" s="8" t="s">
        <v>139</v>
      </c>
      <c r="J2" s="8" t="s">
        <v>244</v>
      </c>
      <c r="K2" s="8" t="s">
        <v>327</v>
      </c>
      <c r="L2" s="8" t="s">
        <v>233</v>
      </c>
      <c r="M2" s="8" t="s">
        <v>287</v>
      </c>
      <c r="N2" s="8" t="s">
        <v>276</v>
      </c>
      <c r="O2" s="8" t="s">
        <v>299</v>
      </c>
      <c r="P2" s="8" t="s">
        <v>28</v>
      </c>
      <c r="Q2" s="8" t="s">
        <v>77</v>
      </c>
      <c r="R2" s="8" t="s">
        <v>223</v>
      </c>
      <c r="S2" s="8" t="s">
        <v>248</v>
      </c>
      <c r="T2" s="8" t="s">
        <v>159</v>
      </c>
      <c r="U2" s="8" t="s">
        <v>225</v>
      </c>
      <c r="V2" s="8" t="s">
        <v>331</v>
      </c>
      <c r="W2" s="8" t="s">
        <v>49</v>
      </c>
      <c r="X2" s="8" t="s">
        <v>195</v>
      </c>
      <c r="Y2" s="8" t="s">
        <v>146</v>
      </c>
      <c r="Z2" s="8" t="s">
        <v>184</v>
      </c>
      <c r="AA2" s="8" t="s">
        <v>162</v>
      </c>
      <c r="AB2" s="8" t="s">
        <v>304</v>
      </c>
      <c r="AC2" s="8" t="s">
        <v>84</v>
      </c>
    </row>
    <row r="3" spans="1:29" ht="26.25" x14ac:dyDescent="0.4">
      <c r="A3" s="7" t="s">
        <v>2</v>
      </c>
      <c r="B3" s="10">
        <f>COUNTA(C3:AC3)</f>
        <v>24</v>
      </c>
      <c r="C3" s="8" t="s">
        <v>68</v>
      </c>
      <c r="D3" s="8" t="s">
        <v>136</v>
      </c>
      <c r="E3" s="8" t="s">
        <v>253</v>
      </c>
      <c r="F3" s="8" t="s">
        <v>346</v>
      </c>
      <c r="G3" s="8" t="s">
        <v>1</v>
      </c>
      <c r="H3" s="8" t="s">
        <v>86</v>
      </c>
      <c r="I3" s="8" t="s">
        <v>138</v>
      </c>
      <c r="J3" s="8" t="s">
        <v>318</v>
      </c>
      <c r="K3" s="8" t="s">
        <v>298</v>
      </c>
      <c r="L3" s="8" t="s">
        <v>349</v>
      </c>
      <c r="M3" s="14" t="s">
        <v>2</v>
      </c>
      <c r="N3" s="8" t="s">
        <v>203</v>
      </c>
      <c r="O3" s="8" t="s">
        <v>320</v>
      </c>
      <c r="P3" s="8" t="s">
        <v>92</v>
      </c>
      <c r="Q3" s="8" t="s">
        <v>117</v>
      </c>
      <c r="R3" s="8" t="s">
        <v>158</v>
      </c>
      <c r="S3" s="8" t="s">
        <v>311</v>
      </c>
      <c r="T3" s="8" t="s">
        <v>16</v>
      </c>
      <c r="U3" s="8" t="s">
        <v>227</v>
      </c>
      <c r="V3" s="8" t="s">
        <v>344</v>
      </c>
      <c r="W3" s="8" t="s">
        <v>37</v>
      </c>
      <c r="X3" s="8" t="s">
        <v>97</v>
      </c>
      <c r="Y3" s="8" t="s">
        <v>208</v>
      </c>
      <c r="Z3" s="8" t="s">
        <v>273</v>
      </c>
      <c r="AA3" s="5"/>
      <c r="AB3" s="5"/>
      <c r="AC3" s="5"/>
    </row>
    <row r="4" spans="1:29" ht="26.25" x14ac:dyDescent="0.4">
      <c r="A4" s="7" t="s">
        <v>4</v>
      </c>
      <c r="B4" s="10">
        <f>COUNTA(C4:AC4)</f>
        <v>20</v>
      </c>
      <c r="C4" s="8" t="s">
        <v>39</v>
      </c>
      <c r="D4" s="8" t="s">
        <v>99</v>
      </c>
      <c r="E4" s="8" t="s">
        <v>21</v>
      </c>
      <c r="F4" s="8" t="s">
        <v>150</v>
      </c>
      <c r="G4" s="8" t="s">
        <v>219</v>
      </c>
      <c r="H4" s="8" t="s">
        <v>3</v>
      </c>
      <c r="I4" s="8" t="s">
        <v>177</v>
      </c>
      <c r="J4" s="8" t="s">
        <v>359</v>
      </c>
      <c r="K4" s="8" t="s">
        <v>88</v>
      </c>
      <c r="L4" s="8" t="s">
        <v>26</v>
      </c>
      <c r="M4" s="8" t="s">
        <v>114</v>
      </c>
      <c r="N4" s="8" t="s">
        <v>104</v>
      </c>
      <c r="O4" s="8" t="s">
        <v>277</v>
      </c>
      <c r="P4" s="8" t="s">
        <v>47</v>
      </c>
      <c r="Q4" s="8" t="s">
        <v>170</v>
      </c>
      <c r="R4" s="8" t="s">
        <v>107</v>
      </c>
      <c r="S4" s="8" t="s">
        <v>363</v>
      </c>
      <c r="T4" s="8" t="s">
        <v>343</v>
      </c>
      <c r="U4" s="14" t="s">
        <v>4</v>
      </c>
      <c r="V4" s="8" t="s">
        <v>240</v>
      </c>
      <c r="W4" s="5"/>
      <c r="X4" s="5"/>
      <c r="Y4" s="5"/>
      <c r="Z4" s="5"/>
      <c r="AA4" s="5"/>
      <c r="AB4" s="5"/>
      <c r="AC4" s="5"/>
    </row>
    <row r="5" spans="1:29" ht="26.25" x14ac:dyDescent="0.4">
      <c r="A5" s="7" t="s">
        <v>52</v>
      </c>
      <c r="B5" s="10">
        <f>COUNTA(C5:AC5)</f>
        <v>18</v>
      </c>
      <c r="C5" s="8" t="s">
        <v>51</v>
      </c>
      <c r="D5" s="8" t="s">
        <v>85</v>
      </c>
      <c r="E5" s="14" t="s">
        <v>52</v>
      </c>
      <c r="F5" s="8" t="s">
        <v>305</v>
      </c>
      <c r="G5" s="8" t="s">
        <v>263</v>
      </c>
      <c r="H5" s="8" t="s">
        <v>72</v>
      </c>
      <c r="I5" s="8" t="s">
        <v>256</v>
      </c>
      <c r="J5" s="8" t="s">
        <v>201</v>
      </c>
      <c r="K5" s="8" t="s">
        <v>319</v>
      </c>
      <c r="L5" s="8" t="s">
        <v>289</v>
      </c>
      <c r="M5" s="8" t="s">
        <v>78</v>
      </c>
      <c r="N5" s="8" t="s">
        <v>106</v>
      </c>
      <c r="O5" s="8" t="s">
        <v>79</v>
      </c>
      <c r="P5" s="8" t="s">
        <v>133</v>
      </c>
      <c r="Q5" s="8" t="s">
        <v>261</v>
      </c>
      <c r="R5" s="8" t="s">
        <v>324</v>
      </c>
      <c r="S5" s="8" t="s">
        <v>66</v>
      </c>
      <c r="T5" s="8" t="s">
        <v>282</v>
      </c>
      <c r="U5" s="16"/>
      <c r="V5" s="16"/>
      <c r="W5" s="5"/>
      <c r="X5" s="5"/>
      <c r="Y5" s="5"/>
      <c r="Z5" s="5"/>
      <c r="AA5" s="5"/>
      <c r="AB5" s="5"/>
      <c r="AC5" s="5"/>
    </row>
    <row r="6" spans="1:29" ht="26.25" x14ac:dyDescent="0.4">
      <c r="A6" s="7" t="s">
        <v>6</v>
      </c>
      <c r="B6" s="10">
        <f>COUNTA(C6:AC6)</f>
        <v>17</v>
      </c>
      <c r="C6" s="8" t="s">
        <v>175</v>
      </c>
      <c r="D6" s="8" t="s">
        <v>357</v>
      </c>
      <c r="E6" s="8" t="s">
        <v>40</v>
      </c>
      <c r="F6" s="8" t="s">
        <v>69</v>
      </c>
      <c r="G6" s="8" t="s">
        <v>125</v>
      </c>
      <c r="H6" s="8" t="s">
        <v>87</v>
      </c>
      <c r="I6" s="14" t="s">
        <v>6</v>
      </c>
      <c r="J6" s="8" t="s">
        <v>264</v>
      </c>
      <c r="K6" s="8" t="s">
        <v>5</v>
      </c>
      <c r="L6" s="8" t="s">
        <v>200</v>
      </c>
      <c r="M6" s="8" t="s">
        <v>103</v>
      </c>
      <c r="N6" s="8" t="s">
        <v>191</v>
      </c>
      <c r="O6" s="8" t="s">
        <v>234</v>
      </c>
      <c r="P6" s="8" t="s">
        <v>329</v>
      </c>
      <c r="Q6" s="8" t="s">
        <v>171</v>
      </c>
      <c r="R6" s="8" t="s">
        <v>342</v>
      </c>
      <c r="S6" s="8" t="s">
        <v>197</v>
      </c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6.25" x14ac:dyDescent="0.4">
      <c r="A7" s="7" t="s">
        <v>23</v>
      </c>
      <c r="B7" s="10">
        <f>COUNTA(C7:AC7)</f>
        <v>15</v>
      </c>
      <c r="C7" s="8" t="s">
        <v>209</v>
      </c>
      <c r="D7" s="8" t="s">
        <v>230</v>
      </c>
      <c r="E7" s="8" t="s">
        <v>22</v>
      </c>
      <c r="F7" s="14" t="s">
        <v>23</v>
      </c>
      <c r="G7" s="8" t="s">
        <v>155</v>
      </c>
      <c r="H7" s="8" t="s">
        <v>258</v>
      </c>
      <c r="I7" s="8" t="s">
        <v>46</v>
      </c>
      <c r="J7" s="8" t="s">
        <v>169</v>
      </c>
      <c r="K7" s="8" t="s">
        <v>214</v>
      </c>
      <c r="L7" s="8" t="s">
        <v>259</v>
      </c>
      <c r="M7" s="8" t="s">
        <v>300</v>
      </c>
      <c r="N7" s="8" t="s">
        <v>193</v>
      </c>
      <c r="O7" s="8" t="s">
        <v>278</v>
      </c>
      <c r="P7" s="8" t="s">
        <v>63</v>
      </c>
      <c r="Q7" s="8" t="s">
        <v>238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6.25" x14ac:dyDescent="0.4">
      <c r="A8" s="7" t="s">
        <v>11</v>
      </c>
      <c r="B8" s="10">
        <f>COUNTA(C8:AC8)</f>
        <v>14</v>
      </c>
      <c r="C8" s="8" t="s">
        <v>326</v>
      </c>
      <c r="D8" s="8" t="s">
        <v>335</v>
      </c>
      <c r="E8" s="14" t="s">
        <v>11</v>
      </c>
      <c r="F8" s="8" t="s">
        <v>317</v>
      </c>
      <c r="G8" s="8" t="s">
        <v>245</v>
      </c>
      <c r="H8" s="8" t="s">
        <v>10</v>
      </c>
      <c r="I8" s="8" t="s">
        <v>105</v>
      </c>
      <c r="J8" s="8" t="s">
        <v>62</v>
      </c>
      <c r="K8" s="8" t="s">
        <v>181</v>
      </c>
      <c r="L8" s="8" t="s">
        <v>145</v>
      </c>
      <c r="M8" s="8" t="s">
        <v>280</v>
      </c>
      <c r="N8" s="8" t="s">
        <v>251</v>
      </c>
      <c r="O8" s="8" t="s">
        <v>365</v>
      </c>
      <c r="P8" s="8" t="s">
        <v>262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6.25" x14ac:dyDescent="0.4">
      <c r="A9" s="7" t="s">
        <v>13</v>
      </c>
      <c r="B9" s="10">
        <f>COUNTA(C9:AC9)</f>
        <v>14</v>
      </c>
      <c r="C9" s="8" t="s">
        <v>100</v>
      </c>
      <c r="D9" s="8" t="s">
        <v>176</v>
      </c>
      <c r="E9" s="8" t="s">
        <v>306</v>
      </c>
      <c r="F9" s="8" t="s">
        <v>166</v>
      </c>
      <c r="G9" s="8" t="s">
        <v>190</v>
      </c>
      <c r="H9" s="8" t="s">
        <v>308</v>
      </c>
      <c r="I9" s="8" t="s">
        <v>45</v>
      </c>
      <c r="J9" s="8" t="s">
        <v>168</v>
      </c>
      <c r="K9" s="8" t="s">
        <v>246</v>
      </c>
      <c r="L9" s="8" t="s">
        <v>129</v>
      </c>
      <c r="M9" s="8" t="s">
        <v>12</v>
      </c>
      <c r="N9" s="8" t="s">
        <v>144</v>
      </c>
      <c r="O9" s="14" t="s">
        <v>13</v>
      </c>
      <c r="P9" s="8" t="s">
        <v>354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6.25" x14ac:dyDescent="0.4">
      <c r="A10" s="7" t="s">
        <v>149</v>
      </c>
      <c r="B10" s="10">
        <f>COUNTA(C10:AC10)</f>
        <v>13</v>
      </c>
      <c r="C10" s="8" t="s">
        <v>148</v>
      </c>
      <c r="D10" s="8" t="s">
        <v>274</v>
      </c>
      <c r="E10" s="8" t="s">
        <v>189</v>
      </c>
      <c r="F10" s="8" t="s">
        <v>212</v>
      </c>
      <c r="G10" s="8" t="s">
        <v>328</v>
      </c>
      <c r="H10" s="8" t="s">
        <v>180</v>
      </c>
      <c r="I10" s="8" t="s">
        <v>222</v>
      </c>
      <c r="J10" s="8" t="s">
        <v>288</v>
      </c>
      <c r="K10" s="8" t="s">
        <v>236</v>
      </c>
      <c r="L10" s="14" t="s">
        <v>149</v>
      </c>
      <c r="M10" s="8" t="s">
        <v>160</v>
      </c>
      <c r="N10" s="8" t="s">
        <v>161</v>
      </c>
      <c r="O10" s="8" t="s">
        <v>281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6.25" x14ac:dyDescent="0.4">
      <c r="A11" s="7" t="s">
        <v>7</v>
      </c>
      <c r="B11" s="10">
        <f>COUNTA(C11:AC11)</f>
        <v>13</v>
      </c>
      <c r="C11" s="8" t="s">
        <v>198</v>
      </c>
      <c r="D11" s="8" t="s">
        <v>294</v>
      </c>
      <c r="E11" s="8" t="s">
        <v>316</v>
      </c>
      <c r="F11" s="14" t="s">
        <v>7</v>
      </c>
      <c r="G11" s="8" t="s">
        <v>257</v>
      </c>
      <c r="H11" s="8" t="s">
        <v>247</v>
      </c>
      <c r="I11" s="8" t="s">
        <v>204</v>
      </c>
      <c r="J11" s="8" t="s">
        <v>352</v>
      </c>
      <c r="K11" s="8" t="s">
        <v>48</v>
      </c>
      <c r="L11" s="8" t="s">
        <v>279</v>
      </c>
      <c r="M11" s="8" t="s">
        <v>15</v>
      </c>
      <c r="N11" s="8" t="s">
        <v>313</v>
      </c>
      <c r="O11" s="8" t="s">
        <v>96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6.25" x14ac:dyDescent="0.4">
      <c r="A12" s="7" t="s">
        <v>31</v>
      </c>
      <c r="B12" s="10">
        <f>COUNTA(C12:AC12)</f>
        <v>11</v>
      </c>
      <c r="C12" s="8" t="s">
        <v>199</v>
      </c>
      <c r="D12" s="8" t="s">
        <v>242</v>
      </c>
      <c r="E12" s="8" t="s">
        <v>309</v>
      </c>
      <c r="F12" s="8" t="s">
        <v>339</v>
      </c>
      <c r="G12" s="8" t="s">
        <v>235</v>
      </c>
      <c r="H12" s="8" t="s">
        <v>30</v>
      </c>
      <c r="I12" s="8" t="s">
        <v>260</v>
      </c>
      <c r="J12" s="8" t="s">
        <v>301</v>
      </c>
      <c r="K12" s="8" t="s">
        <v>321</v>
      </c>
      <c r="L12" s="8" t="s">
        <v>95</v>
      </c>
      <c r="M12" s="14" t="s">
        <v>31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26.25" x14ac:dyDescent="0.4">
      <c r="A13" s="7" t="s">
        <v>33</v>
      </c>
      <c r="B13" s="10">
        <f>COUNTA(C13:AC13)</f>
        <v>10</v>
      </c>
      <c r="C13" s="8" t="s">
        <v>186</v>
      </c>
      <c r="D13" s="8" t="s">
        <v>220</v>
      </c>
      <c r="E13" s="8" t="s">
        <v>128</v>
      </c>
      <c r="F13" s="8" t="s">
        <v>32</v>
      </c>
      <c r="G13" s="8" t="s">
        <v>194</v>
      </c>
      <c r="H13" s="8" t="s">
        <v>270</v>
      </c>
      <c r="I13" s="8" t="s">
        <v>353</v>
      </c>
      <c r="J13" s="8" t="s">
        <v>302</v>
      </c>
      <c r="K13" s="8" t="s">
        <v>207</v>
      </c>
      <c r="L13" s="14" t="s">
        <v>33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26.25" x14ac:dyDescent="0.4">
      <c r="A14" s="7" t="s">
        <v>18</v>
      </c>
      <c r="B14" s="10">
        <f>COUNTA(C14:AC14)</f>
        <v>10</v>
      </c>
      <c r="C14" s="14" t="s">
        <v>18</v>
      </c>
      <c r="D14" s="8" t="s">
        <v>338</v>
      </c>
      <c r="E14" s="8" t="s">
        <v>90</v>
      </c>
      <c r="F14" s="8" t="s">
        <v>64</v>
      </c>
      <c r="G14" s="8" t="s">
        <v>206</v>
      </c>
      <c r="H14" s="8" t="s">
        <v>65</v>
      </c>
      <c r="I14" s="8" t="s">
        <v>173</v>
      </c>
      <c r="J14" s="8" t="s">
        <v>303</v>
      </c>
      <c r="K14" s="8" t="s">
        <v>17</v>
      </c>
      <c r="L14" s="8" t="s">
        <v>135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26.25" x14ac:dyDescent="0.4">
      <c r="A15" s="7" t="s">
        <v>57</v>
      </c>
      <c r="B15" s="10">
        <f>COUNTA(C15:AC15)</f>
        <v>10</v>
      </c>
      <c r="C15" s="8" t="s">
        <v>231</v>
      </c>
      <c r="D15" s="8" t="s">
        <v>56</v>
      </c>
      <c r="E15" s="8" t="s">
        <v>265</v>
      </c>
      <c r="F15" s="8" t="s">
        <v>141</v>
      </c>
      <c r="G15" s="8" t="s">
        <v>267</v>
      </c>
      <c r="H15" s="8" t="s">
        <v>116</v>
      </c>
      <c r="I15" s="8" t="s">
        <v>224</v>
      </c>
      <c r="J15" s="14" t="s">
        <v>57</v>
      </c>
      <c r="K15" s="8" t="s">
        <v>239</v>
      </c>
      <c r="L15" s="8" t="s">
        <v>355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26.25" x14ac:dyDescent="0.4">
      <c r="A16" s="7" t="s">
        <v>81</v>
      </c>
      <c r="B16" s="10">
        <f>COUNTA(C16:AC16)</f>
        <v>9</v>
      </c>
      <c r="C16" s="8" t="s">
        <v>295</v>
      </c>
      <c r="D16" s="8" t="s">
        <v>126</v>
      </c>
      <c r="E16" s="14" t="s">
        <v>81</v>
      </c>
      <c r="F16" s="8" t="s">
        <v>130</v>
      </c>
      <c r="G16" s="8" t="s">
        <v>182</v>
      </c>
      <c r="H16" s="8" t="s">
        <v>249</v>
      </c>
      <c r="I16" s="8" t="s">
        <v>80</v>
      </c>
      <c r="J16" s="8" t="s">
        <v>226</v>
      </c>
      <c r="K16" s="8" t="s">
        <v>291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6.25" x14ac:dyDescent="0.4">
      <c r="A17" s="7" t="s">
        <v>94</v>
      </c>
      <c r="B17" s="10">
        <f>COUNTA(C17:AC17)</f>
        <v>9</v>
      </c>
      <c r="C17" s="8" t="s">
        <v>101</v>
      </c>
      <c r="D17" s="14" t="s">
        <v>94</v>
      </c>
      <c r="E17" s="8" t="s">
        <v>93</v>
      </c>
      <c r="F17" s="8" t="s">
        <v>118</v>
      </c>
      <c r="G17" s="8" t="s">
        <v>108</v>
      </c>
      <c r="H17" s="8" t="s">
        <v>250</v>
      </c>
      <c r="I17" s="8" t="s">
        <v>333</v>
      </c>
      <c r="J17" s="8" t="s">
        <v>293</v>
      </c>
      <c r="K17" s="8" t="s">
        <v>334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5"/>
      <c r="Z17" s="5"/>
      <c r="AA17" s="5"/>
      <c r="AB17" s="5"/>
      <c r="AC17" s="5"/>
    </row>
    <row r="18" spans="1:29" ht="26.25" x14ac:dyDescent="0.4">
      <c r="A18" s="7" t="s">
        <v>76</v>
      </c>
      <c r="B18" s="10">
        <f>COUNTA(C18:AC18)</f>
        <v>8</v>
      </c>
      <c r="C18" s="14" t="s">
        <v>76</v>
      </c>
      <c r="D18" s="8" t="s">
        <v>127</v>
      </c>
      <c r="E18" s="8" t="s">
        <v>75</v>
      </c>
      <c r="F18" s="8" t="s">
        <v>330</v>
      </c>
      <c r="G18" s="8" t="s">
        <v>237</v>
      </c>
      <c r="H18" s="8" t="s">
        <v>121</v>
      </c>
      <c r="I18" s="8" t="s">
        <v>196</v>
      </c>
      <c r="J18" s="8" t="s">
        <v>252</v>
      </c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26.25" x14ac:dyDescent="0.4">
      <c r="A19" s="7" t="s">
        <v>74</v>
      </c>
      <c r="B19" s="10">
        <f>COUNTA(C19:AC19)</f>
        <v>7</v>
      </c>
      <c r="C19" s="8" t="s">
        <v>111</v>
      </c>
      <c r="D19" s="8" t="s">
        <v>336</v>
      </c>
      <c r="E19" s="14" t="s">
        <v>74</v>
      </c>
      <c r="F19" s="8" t="s">
        <v>73</v>
      </c>
      <c r="G19" s="8" t="s">
        <v>341</v>
      </c>
      <c r="H19" s="8" t="s">
        <v>312</v>
      </c>
      <c r="I19" s="8" t="s">
        <v>314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6.25" x14ac:dyDescent="0.4">
      <c r="A20" s="7" t="s">
        <v>71</v>
      </c>
      <c r="B20" s="10">
        <f>COUNTA(C20:AC20)</f>
        <v>7</v>
      </c>
      <c r="C20" s="8" t="s">
        <v>347</v>
      </c>
      <c r="D20" s="8" t="s">
        <v>70</v>
      </c>
      <c r="E20" s="14" t="s">
        <v>71</v>
      </c>
      <c r="F20" s="8" t="s">
        <v>211</v>
      </c>
      <c r="G20" s="8" t="s">
        <v>91</v>
      </c>
      <c r="H20" s="8" t="s">
        <v>292</v>
      </c>
      <c r="I20" s="8" t="s">
        <v>147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6.25" x14ac:dyDescent="0.4">
      <c r="A21" s="7" t="s">
        <v>36</v>
      </c>
      <c r="B21" s="10">
        <f>COUNTA(C21:AC21)</f>
        <v>7</v>
      </c>
      <c r="C21" s="8" t="s">
        <v>358</v>
      </c>
      <c r="D21" s="8" t="s">
        <v>255</v>
      </c>
      <c r="E21" s="14" t="s">
        <v>36</v>
      </c>
      <c r="F21" s="8" t="s">
        <v>290</v>
      </c>
      <c r="G21" s="8" t="s">
        <v>332</v>
      </c>
      <c r="H21" s="8" t="s">
        <v>35</v>
      </c>
      <c r="I21" s="8" t="s">
        <v>134</v>
      </c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26.25" x14ac:dyDescent="0.4">
      <c r="A22" s="7" t="s">
        <v>54</v>
      </c>
      <c r="B22" s="10">
        <f>COUNTA(C22:AC22)</f>
        <v>6</v>
      </c>
      <c r="C22" s="8" t="s">
        <v>53</v>
      </c>
      <c r="D22" s="8" t="s">
        <v>137</v>
      </c>
      <c r="E22" s="8" t="s">
        <v>243</v>
      </c>
      <c r="F22" s="8" t="s">
        <v>113</v>
      </c>
      <c r="G22" s="14" t="s">
        <v>54</v>
      </c>
      <c r="H22" s="8" t="s">
        <v>272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6.25" x14ac:dyDescent="0.4">
      <c r="A23" s="7" t="s">
        <v>25</v>
      </c>
      <c r="B23" s="10">
        <f>COUNTA(C23:AC23)</f>
        <v>6</v>
      </c>
      <c r="C23" s="8" t="s">
        <v>210</v>
      </c>
      <c r="D23" s="8" t="s">
        <v>24</v>
      </c>
      <c r="E23" s="8" t="s">
        <v>153</v>
      </c>
      <c r="F23" s="8" t="s">
        <v>221</v>
      </c>
      <c r="G23" s="8" t="s">
        <v>202</v>
      </c>
      <c r="H23" s="14" t="s">
        <v>25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6.25" x14ac:dyDescent="0.4">
      <c r="A24" s="7" t="s">
        <v>58</v>
      </c>
      <c r="B24" s="10">
        <f>COUNTA(C24:AC24)</f>
        <v>6</v>
      </c>
      <c r="C24" s="8" t="s">
        <v>297</v>
      </c>
      <c r="D24" s="14" t="s">
        <v>58</v>
      </c>
      <c r="E24" s="8" t="s">
        <v>350</v>
      </c>
      <c r="F24" s="8" t="s">
        <v>215</v>
      </c>
      <c r="G24" s="8" t="s">
        <v>216</v>
      </c>
      <c r="H24" s="8" t="s">
        <v>217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6.25" x14ac:dyDescent="0.4">
      <c r="A25" s="7" t="s">
        <v>9</v>
      </c>
      <c r="B25" s="10">
        <f>COUNTA(C25:AC25)</f>
        <v>5</v>
      </c>
      <c r="C25" s="8" t="s">
        <v>163</v>
      </c>
      <c r="D25" s="8" t="s">
        <v>41</v>
      </c>
      <c r="E25" s="14" t="s">
        <v>9</v>
      </c>
      <c r="F25" s="8" t="s">
        <v>8</v>
      </c>
      <c r="G25" s="8" t="s">
        <v>61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6.25" x14ac:dyDescent="0.4">
      <c r="A26" s="7" t="s">
        <v>157</v>
      </c>
      <c r="B26" s="10">
        <f>COUNTA(C26:AC26)</f>
        <v>5</v>
      </c>
      <c r="C26" s="14" t="s">
        <v>157</v>
      </c>
      <c r="D26" s="8" t="s">
        <v>283</v>
      </c>
      <c r="E26" s="8" t="s">
        <v>156</v>
      </c>
      <c r="F26" s="8" t="s">
        <v>192</v>
      </c>
      <c r="G26" s="8" t="s">
        <v>269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26.25" x14ac:dyDescent="0.4">
      <c r="A27" s="7" t="s">
        <v>27</v>
      </c>
      <c r="B27" s="10">
        <f>COUNTA(C27:AC27)</f>
        <v>5</v>
      </c>
      <c r="C27" s="8" t="s">
        <v>254</v>
      </c>
      <c r="D27" s="8" t="s">
        <v>102</v>
      </c>
      <c r="E27" s="8" t="s">
        <v>307</v>
      </c>
      <c r="F27" s="14" t="s">
        <v>27</v>
      </c>
      <c r="G27" s="8" t="s">
        <v>109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26.25" x14ac:dyDescent="0.4">
      <c r="A28" s="7" t="s">
        <v>14</v>
      </c>
      <c r="B28" s="10">
        <f>COUNTA(C28:AC28)</f>
        <v>5</v>
      </c>
      <c r="C28" s="8" t="s">
        <v>42</v>
      </c>
      <c r="D28" s="8" t="s">
        <v>266</v>
      </c>
      <c r="E28" s="14" t="s">
        <v>14</v>
      </c>
      <c r="F28" s="8" t="s">
        <v>271</v>
      </c>
      <c r="G28" s="8" t="s">
        <v>218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26.25" x14ac:dyDescent="0.4">
      <c r="A29" s="7" t="s">
        <v>152</v>
      </c>
      <c r="B29" s="10">
        <f>COUNTA(C29:AC29)</f>
        <v>5</v>
      </c>
      <c r="C29" s="14" t="s">
        <v>152</v>
      </c>
      <c r="D29" s="8" t="s">
        <v>151</v>
      </c>
      <c r="E29" s="8" t="s">
        <v>178</v>
      </c>
      <c r="F29" s="8" t="s">
        <v>213</v>
      </c>
      <c r="G29" s="8" t="s">
        <v>110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26.25" x14ac:dyDescent="0.4">
      <c r="A30" s="7" t="s">
        <v>132</v>
      </c>
      <c r="B30" s="10">
        <f>COUNTA(C30:AC30)</f>
        <v>3</v>
      </c>
      <c r="C30" s="14" t="s">
        <v>132</v>
      </c>
      <c r="D30" s="8" t="s">
        <v>340</v>
      </c>
      <c r="E30" s="8" t="s">
        <v>131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26.25" x14ac:dyDescent="0.4">
      <c r="A31" s="7" t="s">
        <v>143</v>
      </c>
      <c r="B31" s="10">
        <f>COUNTA(C31:AC31)</f>
        <v>3</v>
      </c>
      <c r="C31" s="14" t="s">
        <v>143</v>
      </c>
      <c r="D31" s="8" t="s">
        <v>142</v>
      </c>
      <c r="E31" s="8" t="s">
        <v>174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26.25" x14ac:dyDescent="0.4">
      <c r="A32" s="7" t="s">
        <v>60</v>
      </c>
      <c r="B32" s="10">
        <f>COUNTA(C32:AC32)</f>
        <v>3</v>
      </c>
      <c r="C32" s="14" t="s">
        <v>60</v>
      </c>
      <c r="D32" s="8" t="s">
        <v>232</v>
      </c>
      <c r="E32" s="8" t="s">
        <v>59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26.25" x14ac:dyDescent="0.4">
      <c r="A33" s="7" t="s">
        <v>275</v>
      </c>
      <c r="B33" s="10">
        <f>COUNTA(C33:AC33)</f>
        <v>3</v>
      </c>
      <c r="C33" s="14" t="s">
        <v>275</v>
      </c>
      <c r="D33" s="8" t="s">
        <v>362</v>
      </c>
      <c r="E33" s="8" t="s">
        <v>323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26.25" x14ac:dyDescent="0.4">
      <c r="A34" s="7" t="s">
        <v>164</v>
      </c>
      <c r="B34" s="10">
        <f>COUNTA(C34:AC34)</f>
        <v>2</v>
      </c>
      <c r="C34" s="14" t="s">
        <v>164</v>
      </c>
      <c r="D34" s="8" t="s">
        <v>205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26.25" x14ac:dyDescent="0.4">
      <c r="A35" s="7" t="s">
        <v>187</v>
      </c>
      <c r="B35" s="10">
        <f>COUNTA(C35:AC35)</f>
        <v>2</v>
      </c>
      <c r="C35" s="14" t="s">
        <v>187</v>
      </c>
      <c r="D35" s="8" t="s">
        <v>310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26.25" x14ac:dyDescent="0.4">
      <c r="A36" s="7" t="s">
        <v>165</v>
      </c>
      <c r="B36" s="10">
        <f>COUNTA(C36:AC36)</f>
        <v>2</v>
      </c>
      <c r="C36" s="14" t="s">
        <v>165</v>
      </c>
      <c r="D36" s="8" t="s">
        <v>172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26.25" x14ac:dyDescent="0.4">
      <c r="A37" s="7" t="s">
        <v>89</v>
      </c>
      <c r="B37" s="10">
        <f>COUNTA(C37:AC37)</f>
        <v>2</v>
      </c>
      <c r="C37" s="14" t="s">
        <v>89</v>
      </c>
      <c r="D37" s="8" t="s">
        <v>115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26.25" x14ac:dyDescent="0.4">
      <c r="A38" s="7" t="s">
        <v>83</v>
      </c>
      <c r="B38" s="10">
        <f>COUNTA(C38:AC38)</f>
        <v>2</v>
      </c>
      <c r="C38" s="14" t="s">
        <v>83</v>
      </c>
      <c r="D38" s="8" t="s">
        <v>82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26.25" x14ac:dyDescent="0.4">
      <c r="A39" s="7" t="s">
        <v>34</v>
      </c>
      <c r="B39" s="10">
        <f>COUNTA(C39:AC39)</f>
        <v>2</v>
      </c>
      <c r="C39" s="8" t="s">
        <v>361</v>
      </c>
      <c r="D39" s="14" t="s">
        <v>34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26.25" x14ac:dyDescent="0.4">
      <c r="A40" s="7" t="s">
        <v>185</v>
      </c>
      <c r="B40" s="10">
        <f>COUNTA(C40:AC40)</f>
        <v>2</v>
      </c>
      <c r="C40" s="8" t="s">
        <v>268</v>
      </c>
      <c r="D40" s="14" t="s">
        <v>185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26.25" x14ac:dyDescent="0.4">
      <c r="A41" s="7" t="s">
        <v>123</v>
      </c>
      <c r="B41" s="10">
        <f>COUNTA(C41:AC41)</f>
        <v>2</v>
      </c>
      <c r="C41" s="14" t="s">
        <v>123</v>
      </c>
      <c r="D41" s="8" t="s">
        <v>122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26.25" x14ac:dyDescent="0.4">
      <c r="A42" s="7" t="s">
        <v>120</v>
      </c>
      <c r="B42" s="10">
        <f>COUNTA(C42:AC42)</f>
        <v>2</v>
      </c>
      <c r="C42" s="14" t="s">
        <v>120</v>
      </c>
      <c r="D42" s="8" t="s">
        <v>119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26.25" x14ac:dyDescent="0.4">
      <c r="A43" s="7" t="s">
        <v>50</v>
      </c>
      <c r="B43" s="10">
        <f>COUNTA(C43:AC43)</f>
        <v>2</v>
      </c>
      <c r="C43" s="8" t="s">
        <v>183</v>
      </c>
      <c r="D43" s="14" t="s">
        <v>50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26.25" x14ac:dyDescent="0.4">
      <c r="A44" s="7" t="s">
        <v>0</v>
      </c>
      <c r="B44" s="10">
        <f>COUNTA(C44:AC44)</f>
        <v>1</v>
      </c>
      <c r="C44" s="8" t="s">
        <v>0</v>
      </c>
      <c r="D44" s="9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x14ac:dyDescent="0.4">
      <c r="A45" s="7" t="s">
        <v>20</v>
      </c>
      <c r="B45" s="10">
        <f>COUNTA(C45:AC45)</f>
        <v>1</v>
      </c>
      <c r="C45" s="8" t="s">
        <v>20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26.25" x14ac:dyDescent="0.4">
      <c r="A46" s="7" t="s">
        <v>229</v>
      </c>
      <c r="B46" s="10">
        <f>COUNTA(C46:AC46)</f>
        <v>1</v>
      </c>
      <c r="C46" s="8" t="s">
        <v>229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26.25" x14ac:dyDescent="0.4">
      <c r="A47" s="7" t="s">
        <v>241</v>
      </c>
      <c r="B47" s="10">
        <f>COUNTA(C47:AC47)</f>
        <v>1</v>
      </c>
      <c r="C47" s="8" t="s">
        <v>241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26.25" x14ac:dyDescent="0.4">
      <c r="A48" s="7" t="s">
        <v>112</v>
      </c>
      <c r="B48" s="10">
        <f>COUNTA(C48:AC48)</f>
        <v>1</v>
      </c>
      <c r="C48" s="8" t="s">
        <v>112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26.25" x14ac:dyDescent="0.4">
      <c r="A49" s="7" t="s">
        <v>296</v>
      </c>
      <c r="B49" s="10">
        <f>COUNTA(C49:AC49)</f>
        <v>1</v>
      </c>
      <c r="C49" s="8" t="s">
        <v>296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26.25" x14ac:dyDescent="0.4">
      <c r="A50" s="7" t="s">
        <v>286</v>
      </c>
      <c r="B50" s="10">
        <f>COUNTA(C50:AC50)</f>
        <v>1</v>
      </c>
      <c r="C50" s="15" t="s">
        <v>286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spans="1:29" ht="26.25" x14ac:dyDescent="0.4">
      <c r="A51" s="7" t="s">
        <v>337</v>
      </c>
      <c r="B51" s="10">
        <f>COUNTA(C51:AC51)</f>
        <v>1</v>
      </c>
      <c r="C51" s="8" t="s">
        <v>337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26.25" x14ac:dyDescent="0.4">
      <c r="A52" s="7" t="s">
        <v>348</v>
      </c>
      <c r="B52" s="10">
        <f>COUNTA(C52:AC52)</f>
        <v>1</v>
      </c>
      <c r="C52" s="8" t="s">
        <v>348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26.25" x14ac:dyDescent="0.4">
      <c r="A53" s="7" t="s">
        <v>360</v>
      </c>
      <c r="B53" s="10">
        <f>COUNTA(C53:AC53)</f>
        <v>1</v>
      </c>
      <c r="C53" s="8" t="s">
        <v>360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26.25" x14ac:dyDescent="0.4">
      <c r="A54" s="7" t="s">
        <v>44</v>
      </c>
      <c r="B54" s="10">
        <f>COUNTA(C54:AC54)</f>
        <v>1</v>
      </c>
      <c r="C54" s="8" t="s">
        <v>43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26.25" x14ac:dyDescent="0.4">
      <c r="A55" s="7" t="s">
        <v>140</v>
      </c>
      <c r="B55" s="10">
        <f>COUNTA(C55:AC55)</f>
        <v>1</v>
      </c>
      <c r="C55" s="8" t="s">
        <v>140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26.25" x14ac:dyDescent="0.4">
      <c r="A56" s="7" t="s">
        <v>154</v>
      </c>
      <c r="B56" s="10">
        <f>COUNTA(C56:AC56)</f>
        <v>1</v>
      </c>
      <c r="C56" s="8" t="s">
        <v>154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26.25" x14ac:dyDescent="0.4">
      <c r="A57" s="7" t="s">
        <v>167</v>
      </c>
      <c r="B57" s="10">
        <f>COUNTA(C57:AC57)</f>
        <v>1</v>
      </c>
      <c r="C57" s="8" t="s">
        <v>167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26.25" x14ac:dyDescent="0.4">
      <c r="A58" s="7" t="s">
        <v>179</v>
      </c>
      <c r="B58" s="10">
        <f>COUNTA(C58:AC58)</f>
        <v>1</v>
      </c>
      <c r="C58" s="8" t="s">
        <v>179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26.25" x14ac:dyDescent="0.4">
      <c r="A59" s="7" t="s">
        <v>351</v>
      </c>
      <c r="B59" s="10">
        <f>COUNTA(C59:AC59)</f>
        <v>1</v>
      </c>
      <c r="C59" s="8" t="s">
        <v>351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26.25" x14ac:dyDescent="0.4">
      <c r="A60" s="7" t="s">
        <v>322</v>
      </c>
      <c r="B60" s="10">
        <f>COUNTA(C60:AC60)</f>
        <v>1</v>
      </c>
      <c r="C60" s="8" t="s">
        <v>322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26.25" x14ac:dyDescent="0.4">
      <c r="A61" s="7" t="s">
        <v>364</v>
      </c>
      <c r="B61" s="10">
        <f>COUNTA(C61:AC61)</f>
        <v>1</v>
      </c>
      <c r="C61" s="8" t="s">
        <v>364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26.25" x14ac:dyDescent="0.4">
      <c r="A62" s="7" t="s">
        <v>228</v>
      </c>
      <c r="B62" s="10">
        <f>COUNTA(C62:AC62)</f>
        <v>1</v>
      </c>
      <c r="C62" s="8" t="s">
        <v>228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26.25" x14ac:dyDescent="0.4">
      <c r="A63" s="7" t="s">
        <v>315</v>
      </c>
      <c r="B63" s="10">
        <f>COUNTA(C63:AC63)</f>
        <v>1</v>
      </c>
      <c r="C63" s="8" t="s">
        <v>315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26.25" x14ac:dyDescent="0.4">
      <c r="A64" s="7" t="s">
        <v>325</v>
      </c>
      <c r="B64" s="10">
        <f>COUNTA(C64:AC64)</f>
        <v>1</v>
      </c>
      <c r="C64" s="8" t="s">
        <v>325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26.25" x14ac:dyDescent="0.4">
      <c r="A65" s="7" t="s">
        <v>345</v>
      </c>
      <c r="B65" s="10">
        <f>COUNTA(C65:AC65)</f>
        <v>1</v>
      </c>
      <c r="C65" s="8" t="s">
        <v>345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26.25" x14ac:dyDescent="0.4">
      <c r="A66" s="7" t="s">
        <v>356</v>
      </c>
      <c r="B66" s="10">
        <f>COUNTA(C66:AC66)</f>
        <v>1</v>
      </c>
      <c r="C66" s="8" t="s">
        <v>356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26.25" x14ac:dyDescent="0.4">
      <c r="A67" s="7" t="s">
        <v>366</v>
      </c>
      <c r="B67" s="10">
        <f>COUNTA(C67:AC67)</f>
        <v>1</v>
      </c>
      <c r="C67" s="8" t="s">
        <v>366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26.25" x14ac:dyDescent="0.4">
      <c r="A68" s="7" t="s">
        <v>19</v>
      </c>
      <c r="B68" s="10">
        <f>COUNTA(C68:AC68)</f>
        <v>1</v>
      </c>
      <c r="C68" s="8" t="s">
        <v>19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26.25" x14ac:dyDescent="0.4">
      <c r="A69" s="7" t="s">
        <v>38</v>
      </c>
      <c r="B69" s="10">
        <f>COUNTA(C69:AC69)</f>
        <v>1</v>
      </c>
      <c r="C69" s="8" t="s">
        <v>38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26.25" x14ac:dyDescent="0.4">
      <c r="A70" s="7" t="s">
        <v>67</v>
      </c>
      <c r="B70" s="10">
        <f>COUNTA(C70:AC70)</f>
        <v>1</v>
      </c>
      <c r="C70" s="8" t="s">
        <v>67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26.25" x14ac:dyDescent="0.4">
      <c r="A71" s="7" t="s">
        <v>98</v>
      </c>
      <c r="B71" s="10">
        <f>COUNTA(C71:AC71)</f>
        <v>1</v>
      </c>
      <c r="C71" s="8" t="s">
        <v>98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36" x14ac:dyDescent="0.55000000000000004">
      <c r="A72" s="13">
        <f>COUNTA(C2:C71)</f>
        <v>70</v>
      </c>
      <c r="B72" s="12">
        <f>SUM(B2:B71)</f>
        <v>366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23.25" x14ac:dyDescent="0.3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</sheetData>
  <sortState xmlns:xlrd2="http://schemas.microsoft.com/office/spreadsheetml/2017/richdata2" ref="A2:AC71">
    <sortCondition descending="1" ref="B2:B71"/>
  </sortState>
  <mergeCells count="1">
    <mergeCell ref="C1:AC1"/>
  </mergeCells>
  <conditionalFormatting sqref="A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{B700AAC8-43A9-43B0-A708-B76D68BA452F}</x14:id>
        </ext>
      </extLst>
    </cfRule>
  </conditionalFormatting>
  <pageMargins left="0.12" right="0.7" top="0.34" bottom="0.15" header="0.3" footer="2.1"/>
  <pageSetup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00AAC8-43A9-43B0-A708-B76D68BA45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Wassfy</dc:creator>
  <cp:lastModifiedBy>John Wassfy</cp:lastModifiedBy>
  <cp:lastPrinted>2024-06-09T17:56:37Z</cp:lastPrinted>
  <dcterms:created xsi:type="dcterms:W3CDTF">2024-06-05T20:27:19Z</dcterms:created>
  <dcterms:modified xsi:type="dcterms:W3CDTF">2026-07-06T19:16:11Z</dcterms:modified>
</cp:coreProperties>
</file>